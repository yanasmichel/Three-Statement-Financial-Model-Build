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/>
  <xr:revisionPtr revIDLastSave="860" documentId="11_0B1D56BE9CDCCE836B02CE7A5FB0D4A9BBFD1C62" xr6:coauthVersionLast="47" xr6:coauthVersionMax="47" xr10:uidLastSave="{523D5675-DC67-46DB-AE2B-98D075EDDA2A}"/>
  <bookViews>
    <workbookView xWindow="240" yWindow="105" windowWidth="14805" windowHeight="8010" xr2:uid="{00000000-000D-0000-FFFF-FFFF00000000}"/>
  </bookViews>
  <sheets>
    <sheet name="Financial Statemen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2" i="1"/>
  <c r="D63" i="1"/>
  <c r="K105" i="1"/>
  <c r="J105" i="1"/>
  <c r="I105" i="1"/>
  <c r="H105" i="1"/>
  <c r="G105" i="1"/>
  <c r="K102" i="1"/>
  <c r="J102" i="1"/>
  <c r="I102" i="1"/>
  <c r="H102" i="1"/>
  <c r="G102" i="1"/>
  <c r="H103" i="1"/>
  <c r="I103" i="1"/>
  <c r="J103" i="1"/>
  <c r="K103" i="1"/>
  <c r="G103" i="1"/>
  <c r="G78" i="1"/>
  <c r="G61" i="1"/>
  <c r="G74" i="1"/>
  <c r="G76" i="1" s="1"/>
  <c r="F20" i="1"/>
  <c r="E20" i="1"/>
  <c r="G20" i="1" s="1"/>
  <c r="G70" i="1"/>
  <c r="G72" i="1"/>
  <c r="E63" i="1"/>
  <c r="F63" i="1"/>
  <c r="G56" i="1"/>
  <c r="G55" i="1"/>
  <c r="G99" i="1" s="1"/>
  <c r="E52" i="1"/>
  <c r="E57" i="1" s="1"/>
  <c r="F52" i="1"/>
  <c r="F57" i="1" s="1"/>
  <c r="D52" i="1"/>
  <c r="D57" i="1" s="1"/>
  <c r="D65" i="1" s="1"/>
  <c r="F45" i="1"/>
  <c r="E45" i="1"/>
  <c r="D45" i="1"/>
  <c r="E41" i="1"/>
  <c r="E47" i="1" s="1"/>
  <c r="E66" i="1" s="1"/>
  <c r="F41" i="1"/>
  <c r="F47" i="1" s="1"/>
  <c r="F66" i="1" s="1"/>
  <c r="D41" i="1"/>
  <c r="F10" i="1"/>
  <c r="F22" i="1"/>
  <c r="E22" i="1"/>
  <c r="D22" i="1"/>
  <c r="D21" i="1"/>
  <c r="E21" i="1"/>
  <c r="F21" i="1"/>
  <c r="E10" i="1"/>
  <c r="E14" i="1" s="1"/>
  <c r="F14" i="1"/>
  <c r="D10" i="1"/>
  <c r="D14" i="1" s="1"/>
  <c r="D23" i="1" s="1"/>
  <c r="G4" i="1"/>
  <c r="H4" i="1" s="1"/>
  <c r="I4" i="1" s="1"/>
  <c r="J4" i="1" s="1"/>
  <c r="K4" i="1" s="1"/>
  <c r="E4" i="1"/>
  <c r="D4" i="1" s="1"/>
  <c r="G21" i="1" l="1"/>
  <c r="G22" i="1"/>
  <c r="H22" i="1" s="1"/>
  <c r="I22" i="1" s="1"/>
  <c r="J22" i="1" s="1"/>
  <c r="K22" i="1" s="1"/>
  <c r="H56" i="1"/>
  <c r="G101" i="1"/>
  <c r="H61" i="1"/>
  <c r="G104" i="1"/>
  <c r="H74" i="1"/>
  <c r="H76" i="1" s="1"/>
  <c r="G60" i="1"/>
  <c r="D47" i="1"/>
  <c r="D66" i="1" s="1"/>
  <c r="H70" i="1"/>
  <c r="H72" i="1" s="1"/>
  <c r="G59" i="1"/>
  <c r="H55" i="1"/>
  <c r="H99" i="1" s="1"/>
  <c r="D67" i="1"/>
  <c r="F65" i="1"/>
  <c r="F67" i="1" s="1"/>
  <c r="E65" i="1"/>
  <c r="E67" i="1" s="1"/>
  <c r="D17" i="1"/>
  <c r="F17" i="1"/>
  <c r="F23" i="1"/>
  <c r="E17" i="1"/>
  <c r="E23" i="1"/>
  <c r="I61" i="1" l="1"/>
  <c r="H104" i="1"/>
  <c r="I56" i="1"/>
  <c r="H101" i="1"/>
  <c r="I74" i="1"/>
  <c r="I76" i="1" s="1"/>
  <c r="H60" i="1"/>
  <c r="I70" i="1"/>
  <c r="I72" i="1" s="1"/>
  <c r="H59" i="1"/>
  <c r="I55" i="1"/>
  <c r="I99" i="1" s="1"/>
  <c r="G51" i="1"/>
  <c r="G92" i="1" s="1"/>
  <c r="G50" i="1"/>
  <c r="G91" i="1" s="1"/>
  <c r="G30" i="1"/>
  <c r="G96" i="1" s="1"/>
  <c r="G29" i="1"/>
  <c r="G27" i="1"/>
  <c r="G95" i="1" s="1"/>
  <c r="G97" i="1" s="1"/>
  <c r="G26" i="1"/>
  <c r="G86" i="1" s="1"/>
  <c r="G40" i="1"/>
  <c r="G38" i="1"/>
  <c r="H21" i="1"/>
  <c r="G23" i="1"/>
  <c r="H20" i="1"/>
  <c r="I20" i="1" s="1"/>
  <c r="J20" i="1" s="1"/>
  <c r="K20" i="1" s="1"/>
  <c r="G7" i="1"/>
  <c r="J56" i="1" l="1"/>
  <c r="I101" i="1"/>
  <c r="J61" i="1"/>
  <c r="I104" i="1"/>
  <c r="G87" i="1"/>
  <c r="G89" i="1"/>
  <c r="J74" i="1"/>
  <c r="J76" i="1" s="1"/>
  <c r="I60" i="1"/>
  <c r="J70" i="1"/>
  <c r="J72" i="1" s="1"/>
  <c r="I59" i="1"/>
  <c r="J55" i="1"/>
  <c r="J99" i="1" s="1"/>
  <c r="H29" i="1"/>
  <c r="I29" i="1" s="1"/>
  <c r="J29" i="1" s="1"/>
  <c r="K29" i="1" s="1"/>
  <c r="G44" i="1"/>
  <c r="H30" i="1"/>
  <c r="H50" i="1"/>
  <c r="H51" i="1"/>
  <c r="H26" i="1"/>
  <c r="H27" i="1"/>
  <c r="G43" i="1"/>
  <c r="H38" i="1"/>
  <c r="H40" i="1"/>
  <c r="H7" i="1"/>
  <c r="G9" i="1"/>
  <c r="G8" i="1"/>
  <c r="H23" i="1"/>
  <c r="H8" i="1"/>
  <c r="H24" i="1" s="1"/>
  <c r="I21" i="1"/>
  <c r="I27" i="1" l="1"/>
  <c r="H95" i="1"/>
  <c r="I30" i="1"/>
  <c r="H96" i="1"/>
  <c r="K61" i="1"/>
  <c r="K104" i="1" s="1"/>
  <c r="J104" i="1"/>
  <c r="K56" i="1"/>
  <c r="K101" i="1" s="1"/>
  <c r="J101" i="1"/>
  <c r="I40" i="1"/>
  <c r="I89" i="1"/>
  <c r="H89" i="1"/>
  <c r="H87" i="1"/>
  <c r="I26" i="1"/>
  <c r="H86" i="1"/>
  <c r="I51" i="1"/>
  <c r="H92" i="1"/>
  <c r="I50" i="1"/>
  <c r="H91" i="1"/>
  <c r="K74" i="1"/>
  <c r="K76" i="1" s="1"/>
  <c r="K60" i="1" s="1"/>
  <c r="J60" i="1"/>
  <c r="K70" i="1"/>
  <c r="K72" i="1" s="1"/>
  <c r="K59" i="1" s="1"/>
  <c r="J59" i="1"/>
  <c r="K55" i="1"/>
  <c r="K99" i="1" s="1"/>
  <c r="H43" i="1"/>
  <c r="G45" i="1"/>
  <c r="H44" i="1"/>
  <c r="I44" i="1" s="1"/>
  <c r="G10" i="1"/>
  <c r="G24" i="1"/>
  <c r="I38" i="1"/>
  <c r="J21" i="1"/>
  <c r="I23" i="1"/>
  <c r="I7" i="1"/>
  <c r="H9" i="1"/>
  <c r="H10" i="1" s="1"/>
  <c r="J30" i="1" l="1"/>
  <c r="I96" i="1"/>
  <c r="H97" i="1"/>
  <c r="J27" i="1"/>
  <c r="I95" i="1"/>
  <c r="I97" i="1" s="1"/>
  <c r="I87" i="1"/>
  <c r="J50" i="1"/>
  <c r="I91" i="1"/>
  <c r="J51" i="1"/>
  <c r="I92" i="1"/>
  <c r="J26" i="1"/>
  <c r="I86" i="1"/>
  <c r="J40" i="1"/>
  <c r="J89" i="1"/>
  <c r="G39" i="1"/>
  <c r="G49" i="1"/>
  <c r="G90" i="1" s="1"/>
  <c r="I43" i="1"/>
  <c r="H45" i="1"/>
  <c r="J38" i="1"/>
  <c r="H39" i="1"/>
  <c r="J7" i="1"/>
  <c r="I9" i="1"/>
  <c r="I8" i="1"/>
  <c r="J23" i="1"/>
  <c r="J8" i="1"/>
  <c r="J24" i="1" s="1"/>
  <c r="K21" i="1"/>
  <c r="K27" i="1" l="1"/>
  <c r="K95" i="1" s="1"/>
  <c r="J95" i="1"/>
  <c r="K30" i="1"/>
  <c r="K96" i="1" s="1"/>
  <c r="J96" i="1"/>
  <c r="J44" i="1"/>
  <c r="K44" i="1" s="1"/>
  <c r="J87" i="1"/>
  <c r="H88" i="1"/>
  <c r="G88" i="1"/>
  <c r="K40" i="1"/>
  <c r="K89" i="1"/>
  <c r="K26" i="1"/>
  <c r="K86" i="1" s="1"/>
  <c r="J86" i="1"/>
  <c r="K51" i="1"/>
  <c r="K92" i="1" s="1"/>
  <c r="J92" i="1"/>
  <c r="K50" i="1"/>
  <c r="K91" i="1" s="1"/>
  <c r="J91" i="1"/>
  <c r="J43" i="1"/>
  <c r="I45" i="1"/>
  <c r="H49" i="1"/>
  <c r="H90" i="1" s="1"/>
  <c r="G52" i="1"/>
  <c r="I10" i="1"/>
  <c r="I24" i="1"/>
  <c r="I39" i="1"/>
  <c r="K38" i="1"/>
  <c r="K87" i="1" s="1"/>
  <c r="K23" i="1"/>
  <c r="K7" i="1"/>
  <c r="J9" i="1"/>
  <c r="J10" i="1" s="1"/>
  <c r="J97" i="1" l="1"/>
  <c r="K97" i="1"/>
  <c r="I88" i="1"/>
  <c r="I49" i="1"/>
  <c r="I90" i="1" s="1"/>
  <c r="H52" i="1"/>
  <c r="K43" i="1"/>
  <c r="K45" i="1" s="1"/>
  <c r="J45" i="1"/>
  <c r="J39" i="1"/>
  <c r="K9" i="1"/>
  <c r="K8" i="1"/>
  <c r="J88" i="1" l="1"/>
  <c r="J49" i="1"/>
  <c r="J90" i="1" s="1"/>
  <c r="I52" i="1"/>
  <c r="K10" i="1"/>
  <c r="K24" i="1"/>
  <c r="K39" i="1"/>
  <c r="K88" i="1" l="1"/>
  <c r="K49" i="1"/>
  <c r="J52" i="1"/>
  <c r="K52" i="1" l="1"/>
  <c r="K90" i="1"/>
  <c r="G14" i="1"/>
  <c r="G16" i="1" s="1"/>
  <c r="G17" i="1"/>
  <c r="G79" i="1" s="1"/>
  <c r="G81" i="1" s="1"/>
  <c r="G85" i="1"/>
  <c r="G93" i="1"/>
  <c r="G111" i="1"/>
  <c r="G112" i="1"/>
  <c r="G54" i="1"/>
  <c r="H13" i="1" s="1"/>
  <c r="G100" i="1" l="1"/>
  <c r="G106" i="1" s="1"/>
  <c r="G57" i="1"/>
  <c r="G108" i="1"/>
  <c r="G37" i="1" s="1"/>
  <c r="G62" i="1"/>
  <c r="G63" i="1" s="1"/>
  <c r="H78" i="1"/>
  <c r="G41" i="1" l="1"/>
  <c r="G47" i="1" s="1"/>
  <c r="G66" i="1" s="1"/>
  <c r="H12" i="1"/>
  <c r="H14" i="1" s="1"/>
  <c r="G65" i="1"/>
  <c r="G67" i="1" s="1"/>
  <c r="H16" i="1" l="1"/>
  <c r="H17" i="1"/>
  <c r="H79" i="1" l="1"/>
  <c r="H81" i="1" s="1"/>
  <c r="H85" i="1"/>
  <c r="H93" i="1" s="1"/>
  <c r="H111" i="1" l="1"/>
  <c r="H112" i="1" s="1"/>
  <c r="H54" i="1" s="1"/>
  <c r="I13" i="1" s="1"/>
  <c r="H62" i="1"/>
  <c r="H63" i="1" s="1"/>
  <c r="I78" i="1"/>
  <c r="H100" i="1" l="1"/>
  <c r="H106" i="1" s="1"/>
  <c r="H108" i="1" s="1"/>
  <c r="H37" i="1" s="1"/>
  <c r="H57" i="1"/>
  <c r="H65" i="1" s="1"/>
  <c r="H41" i="1" l="1"/>
  <c r="H47" i="1" s="1"/>
  <c r="H66" i="1" s="1"/>
  <c r="H67" i="1" s="1"/>
  <c r="I12" i="1"/>
  <c r="I14" i="1" s="1"/>
  <c r="I16" i="1" l="1"/>
  <c r="I17" i="1"/>
  <c r="I79" i="1" l="1"/>
  <c r="I81" i="1" s="1"/>
  <c r="I85" i="1"/>
  <c r="I93" i="1" s="1"/>
  <c r="I111" i="1" l="1"/>
  <c r="I112" i="1" s="1"/>
  <c r="I54" i="1" s="1"/>
  <c r="J13" i="1" s="1"/>
  <c r="I62" i="1"/>
  <c r="I63" i="1" s="1"/>
  <c r="J78" i="1"/>
  <c r="I100" i="1" l="1"/>
  <c r="I106" i="1" s="1"/>
  <c r="I108" i="1" s="1"/>
  <c r="I37" i="1" s="1"/>
  <c r="I57" i="1"/>
  <c r="I65" i="1" s="1"/>
  <c r="I41" i="1" l="1"/>
  <c r="I47" i="1" s="1"/>
  <c r="I66" i="1" s="1"/>
  <c r="I67" i="1" s="1"/>
  <c r="J12" i="1"/>
  <c r="J14" i="1" s="1"/>
  <c r="J16" i="1" l="1"/>
  <c r="J17" i="1"/>
  <c r="J79" i="1" l="1"/>
  <c r="J81" i="1" s="1"/>
  <c r="J85" i="1"/>
  <c r="J93" i="1" s="1"/>
  <c r="J111" i="1" l="1"/>
  <c r="J112" i="1" s="1"/>
  <c r="J54" i="1" s="1"/>
  <c r="K13" i="1" s="1"/>
  <c r="J62" i="1"/>
  <c r="J63" i="1" s="1"/>
  <c r="K78" i="1"/>
  <c r="J100" i="1" l="1"/>
  <c r="J106" i="1" s="1"/>
  <c r="J108" i="1" s="1"/>
  <c r="J37" i="1" s="1"/>
  <c r="J57" i="1"/>
  <c r="J65" i="1" s="1"/>
  <c r="J41" i="1" l="1"/>
  <c r="J47" i="1" s="1"/>
  <c r="J66" i="1" s="1"/>
  <c r="J67" i="1" s="1"/>
  <c r="K12" i="1"/>
  <c r="K14" i="1" s="1"/>
  <c r="K16" i="1" l="1"/>
  <c r="K17" i="1"/>
  <c r="K79" i="1" l="1"/>
  <c r="K81" i="1" s="1"/>
  <c r="K62" i="1" s="1"/>
  <c r="K63" i="1" s="1"/>
  <c r="K85" i="1"/>
  <c r="K93" i="1" s="1"/>
  <c r="K111" i="1" l="1"/>
  <c r="K112" i="1" s="1"/>
  <c r="K54" i="1" s="1"/>
  <c r="K100" i="1" l="1"/>
  <c r="K106" i="1" s="1"/>
  <c r="K108" i="1" s="1"/>
  <c r="K37" i="1" s="1"/>
  <c r="K41" i="1" s="1"/>
  <c r="K47" i="1" s="1"/>
  <c r="K66" i="1" s="1"/>
  <c r="K57" i="1"/>
  <c r="K65" i="1" s="1"/>
  <c r="K67" i="1" s="1"/>
</calcChain>
</file>

<file path=xl/sharedStrings.xml><?xml version="1.0" encoding="utf-8"?>
<sst xmlns="http://schemas.openxmlformats.org/spreadsheetml/2006/main" count="95" uniqueCount="77">
  <si>
    <t>$ in Millions</t>
  </si>
  <si>
    <t>Actuals</t>
  </si>
  <si>
    <t>Projections</t>
  </si>
  <si>
    <t>Editable</t>
  </si>
  <si>
    <t>X</t>
  </si>
  <si>
    <t>Income Stament</t>
  </si>
  <si>
    <t xml:space="preserve">Revenue </t>
  </si>
  <si>
    <t xml:space="preserve">Cost of Goods Sold </t>
  </si>
  <si>
    <t xml:space="preserve">Other Operating Expenses </t>
  </si>
  <si>
    <t xml:space="preserve">Operating Profit </t>
  </si>
  <si>
    <t>Intrest Income</t>
  </si>
  <si>
    <t xml:space="preserve">Interest Expense </t>
  </si>
  <si>
    <t xml:space="preserve">Pre-Tax Proft </t>
  </si>
  <si>
    <t xml:space="preserve">Tax Expense </t>
  </si>
  <si>
    <t xml:space="preserve">Net Income </t>
  </si>
  <si>
    <t>Margins / Growth Rates</t>
  </si>
  <si>
    <t>Revenue Growth Rate</t>
  </si>
  <si>
    <t xml:space="preserve">Gross Profit Margin </t>
  </si>
  <si>
    <t>Operating Expense as % of Revenue</t>
  </si>
  <si>
    <t>Tax Rate</t>
  </si>
  <si>
    <t xml:space="preserve">Memo: COGS Growth Rate </t>
  </si>
  <si>
    <t>Memo: Depreciation in opex and COGS</t>
  </si>
  <si>
    <t>Memo: Capital Expenditures</t>
  </si>
  <si>
    <t>Memo: Amortization in opex and COGS</t>
  </si>
  <si>
    <t>Memo: Purchases of Intangibles</t>
  </si>
  <si>
    <t>Memo: % Interest Earned on Cash</t>
  </si>
  <si>
    <t>Memo: % Interest Rate on Debt</t>
  </si>
  <si>
    <t>Balance Sheet</t>
  </si>
  <si>
    <t>Cash and Equivalents</t>
  </si>
  <si>
    <t xml:space="preserve">Accounts Receivable </t>
  </si>
  <si>
    <t xml:space="preserve">Inventory </t>
  </si>
  <si>
    <t>Prepaid Expenses and Other WC Assets</t>
  </si>
  <si>
    <t>Current Assets</t>
  </si>
  <si>
    <t>Property Plant and Equipments</t>
  </si>
  <si>
    <t>Intangible Assets</t>
  </si>
  <si>
    <t>Non Currents Assets</t>
  </si>
  <si>
    <t>Total Assets</t>
  </si>
  <si>
    <t xml:space="preserve">Accounts Payable </t>
  </si>
  <si>
    <t>Accrued Expenses and Other</t>
  </si>
  <si>
    <t xml:space="preserve">Other Current Liabilities </t>
  </si>
  <si>
    <t xml:space="preserve">Total Current Liabilities </t>
  </si>
  <si>
    <t xml:space="preserve">Revolver </t>
  </si>
  <si>
    <t xml:space="preserve">Long Term Debt </t>
  </si>
  <si>
    <t xml:space="preserve">Other Liabilities </t>
  </si>
  <si>
    <t xml:space="preserve">Total Liabilities </t>
  </si>
  <si>
    <t>Common Stock and APIC</t>
  </si>
  <si>
    <t>Treasury Stock</t>
  </si>
  <si>
    <t xml:space="preserve">Other Comprehensive Income </t>
  </si>
  <si>
    <t>Plug</t>
  </si>
  <si>
    <t xml:space="preserve">Retained Earnings </t>
  </si>
  <si>
    <t>Total Equity</t>
  </si>
  <si>
    <t xml:space="preserve">Total Liabilities and Equity </t>
  </si>
  <si>
    <t>Balance Check</t>
  </si>
  <si>
    <t xml:space="preserve">Schedules </t>
  </si>
  <si>
    <t>Common Stock and APIC - BOP</t>
  </si>
  <si>
    <t>New Issuances of Common Stock</t>
  </si>
  <si>
    <t>Common Stock and APIC - EOP</t>
  </si>
  <si>
    <t xml:space="preserve">Treasury Stock - BOP </t>
  </si>
  <si>
    <t>New Repurchases</t>
  </si>
  <si>
    <t xml:space="preserve">Treasury Stock - EOP </t>
  </si>
  <si>
    <t>Retained Earnings - BOP</t>
  </si>
  <si>
    <t>Net Income</t>
  </si>
  <si>
    <t>Common Divedends</t>
  </si>
  <si>
    <t>Retained Earnings - EOP</t>
  </si>
  <si>
    <t xml:space="preserve">Cash Flow Statement </t>
  </si>
  <si>
    <t>Net Income (GAAP)</t>
  </si>
  <si>
    <t>Depreciation and Amortization</t>
  </si>
  <si>
    <t xml:space="preserve">Cash Flow from Operations </t>
  </si>
  <si>
    <t xml:space="preserve">Capital Expenditures </t>
  </si>
  <si>
    <t>Purchases of Intangible Assets</t>
  </si>
  <si>
    <t xml:space="preserve">Cash for Investing Activities </t>
  </si>
  <si>
    <t>Issuances of Common Stock</t>
  </si>
  <si>
    <t xml:space="preserve">Dividends </t>
  </si>
  <si>
    <t xml:space="preserve">Cash from Financing Activities </t>
  </si>
  <si>
    <t xml:space="preserve">Total Change in Cash </t>
  </si>
  <si>
    <t xml:space="preserve">Total Cash Flow Before any Revolver Borrowing </t>
  </si>
  <si>
    <t>Total Revolver Borrowing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</si>
</sst>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_);\(#,##0.0\)"/>
    <numFmt numFmtId="165" formatCode="0.0%"/>
    <numFmt numFmtId="166" formatCode="0.0_);\(0.0\)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0" fillId="0" borderId="1" xfId="0" applyBorder="1"/>
    <xf numFmtId="0" fontId="1" fillId="2" borderId="0" xfId="0" applyFont="1" applyFill="1"/>
    <xf numFmtId="164" fontId="0" fillId="2" borderId="0" xfId="0" applyNumberFormat="1" applyFill="1"/>
    <xf numFmtId="164" fontId="0" fillId="2" borderId="1" xfId="0" applyNumberFormat="1" applyFill="1" applyBorder="1"/>
    <xf numFmtId="164" fontId="1" fillId="0" borderId="0" xfId="0" applyNumberFormat="1" applyFont="1"/>
    <xf numFmtId="0" fontId="1" fillId="0" borderId="2" xfId="0" applyFont="1" applyBorder="1"/>
    <xf numFmtId="164" fontId="1" fillId="0" borderId="2" xfId="0" applyNumberFormat="1" applyFont="1" applyBorder="1"/>
    <xf numFmtId="0" fontId="1" fillId="0" borderId="1" xfId="0" applyFont="1" applyBorder="1"/>
    <xf numFmtId="9" fontId="0" fillId="0" borderId="0" xfId="0" applyNumberFormat="1"/>
    <xf numFmtId="165" fontId="0" fillId="0" borderId="0" xfId="0" applyNumberFormat="1"/>
    <xf numFmtId="166" fontId="0" fillId="0" borderId="0" xfId="0" applyNumberFormat="1"/>
    <xf numFmtId="164" fontId="0" fillId="0" borderId="0" xfId="0" applyNumberFormat="1"/>
    <xf numFmtId="0" fontId="0" fillId="3" borderId="0" xfId="0" applyFill="1"/>
    <xf numFmtId="0" fontId="3" fillId="0" borderId="0" xfId="0" applyFont="1"/>
    <xf numFmtId="166" fontId="1" fillId="0" borderId="2" xfId="0" applyNumberFormat="1" applyFont="1" applyBorder="1"/>
    <xf numFmtId="164" fontId="2" fillId="0" borderId="0" xfId="1" applyNumberFormat="1" applyFill="1"/>
    <xf numFmtId="164" fontId="0" fillId="0" borderId="1" xfId="0" applyNumberFormat="1" applyBorder="1"/>
    <xf numFmtId="164" fontId="0" fillId="3" borderId="0" xfId="0" applyNumberFormat="1" applyFill="1"/>
    <xf numFmtId="46" fontId="0" fillId="0" borderId="0" xfId="0" applyNumberFormat="1"/>
    <xf numFmtId="0" fontId="4" fillId="0" borderId="0" xfId="0" applyFont="1"/>
    <xf numFmtId="166" fontId="4" fillId="0" borderId="0" xfId="0" applyNumberFormat="1" applyFont="1"/>
    <xf numFmtId="166" fontId="0" fillId="2" borderId="0" xfId="0" applyNumberFormat="1" applyFill="1"/>
    <xf numFmtId="166" fontId="0" fillId="2" borderId="1" xfId="0" applyNumberFormat="1" applyFill="1" applyBorder="1"/>
    <xf numFmtId="164" fontId="0" fillId="4" borderId="0" xfId="0" applyNumberFormat="1" applyFill="1"/>
    <xf numFmtId="0" fontId="1" fillId="4" borderId="0" xfId="0" applyFont="1" applyFill="1"/>
    <xf numFmtId="9" fontId="0" fillId="2" borderId="0" xfId="0" applyNumberFormat="1" applyFill="1"/>
    <xf numFmtId="2" fontId="0" fillId="3" borderId="0" xfId="0" applyNumberFormat="1" applyFill="1"/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0" fontId="1" fillId="0" borderId="0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2"/>
  <sheetViews>
    <sheetView showGridLines="0" tabSelected="1" workbookViewId="0">
      <selection activeCell="M84" sqref="M84:M89"/>
    </sheetView>
  </sheetViews>
  <sheetFormatPr defaultRowHeight="15"/>
  <cols>
    <col min="1" max="1" width="11.28515625" bestFit="1" customWidth="1"/>
    <col min="3" max="3" width="35.5703125" bestFit="1" customWidth="1"/>
    <col min="4" max="6" width="11.28515625" bestFit="1" customWidth="1"/>
    <col min="7" max="7" width="10.85546875" bestFit="1" customWidth="1"/>
    <col min="8" max="11" width="9.28515625" bestFit="1" customWidth="1"/>
    <col min="13" max="13" width="27.28515625" bestFit="1" customWidth="1"/>
    <col min="14" max="14" width="9.5703125" customWidth="1"/>
  </cols>
  <sheetData>
    <row r="1" spans="1:11">
      <c r="A1" t="s">
        <v>0</v>
      </c>
      <c r="C1" s="17"/>
    </row>
    <row r="2" spans="1:11">
      <c r="C2" s="17"/>
    </row>
    <row r="3" spans="1:11">
      <c r="D3" s="30" t="s">
        <v>1</v>
      </c>
      <c r="E3" s="30"/>
      <c r="F3" s="30"/>
      <c r="G3" s="29" t="s">
        <v>2</v>
      </c>
      <c r="H3" s="29"/>
      <c r="I3" s="29"/>
      <c r="J3" s="29"/>
      <c r="K3" s="29"/>
    </row>
    <row r="4" spans="1:11">
      <c r="D4" s="1">
        <f t="shared" ref="C4:D4" si="0">E4-1</f>
        <v>2021</v>
      </c>
      <c r="E4" s="1">
        <f>F4-1</f>
        <v>2022</v>
      </c>
      <c r="F4" s="1">
        <v>2023</v>
      </c>
      <c r="G4" s="1">
        <f>F4+1</f>
        <v>2024</v>
      </c>
      <c r="H4" s="1">
        <f t="shared" ref="H4:K4" si="1">G4+1</f>
        <v>2025</v>
      </c>
      <c r="I4" s="1">
        <f t="shared" si="1"/>
        <v>2026</v>
      </c>
      <c r="J4" s="1">
        <f t="shared" si="1"/>
        <v>2027</v>
      </c>
      <c r="K4" s="1">
        <f t="shared" si="1"/>
        <v>2028</v>
      </c>
    </row>
    <row r="5" spans="1:11">
      <c r="A5" s="3" t="s">
        <v>3</v>
      </c>
      <c r="B5" t="s">
        <v>4</v>
      </c>
      <c r="C5" s="1" t="s">
        <v>5</v>
      </c>
    </row>
    <row r="6" spans="1:11">
      <c r="C6" s="1"/>
    </row>
    <row r="7" spans="1:11">
      <c r="C7" t="s">
        <v>6</v>
      </c>
      <c r="D7" s="4">
        <v>1000</v>
      </c>
      <c r="E7" s="4">
        <v>1100</v>
      </c>
      <c r="F7" s="4">
        <v>1200</v>
      </c>
      <c r="G7" s="12">
        <f>F7*(1+G20)</f>
        <v>1314.5454545454545</v>
      </c>
      <c r="H7" s="12">
        <f>G7*(1+H20)</f>
        <v>1440.0247933884298</v>
      </c>
      <c r="I7" s="12">
        <f>H7*(1+I20)</f>
        <v>1577.481705484598</v>
      </c>
      <c r="J7" s="12">
        <f>I7*(1+J20)</f>
        <v>1728.0595046444914</v>
      </c>
      <c r="K7" s="12">
        <f>J7*(1+K20)</f>
        <v>1893.0106391787383</v>
      </c>
    </row>
    <row r="8" spans="1:11">
      <c r="C8" t="s">
        <v>7</v>
      </c>
      <c r="D8" s="4">
        <v>-600</v>
      </c>
      <c r="E8" s="4">
        <v>-700</v>
      </c>
      <c r="F8" s="4">
        <v>-775</v>
      </c>
      <c r="G8" s="13">
        <f>-(1-G21)*G7</f>
        <v>-824.74449035812688</v>
      </c>
      <c r="H8" s="13">
        <f>-(1-H21)*H7</f>
        <v>-903.47010080140262</v>
      </c>
      <c r="I8" s="13">
        <f>-(1-I21)*I7</f>
        <v>-989.71042860517286</v>
      </c>
      <c r="J8" s="13">
        <f>-(1-J21)*J7</f>
        <v>-1084.1827876993029</v>
      </c>
      <c r="K8" s="13">
        <f>-(1-K21)*K7</f>
        <v>-1187.672962888782</v>
      </c>
    </row>
    <row r="9" spans="1:11">
      <c r="C9" s="2" t="s">
        <v>8</v>
      </c>
      <c r="D9" s="5">
        <v>-150</v>
      </c>
      <c r="E9" s="5">
        <v>-165</v>
      </c>
      <c r="F9" s="5">
        <v>-175</v>
      </c>
      <c r="G9" s="12">
        <f>-(G7*G22)</f>
        <v>-195.35606060606059</v>
      </c>
      <c r="H9" s="12">
        <f>-(H7*H22)</f>
        <v>-214.00368457300274</v>
      </c>
      <c r="I9" s="12">
        <f>-(I7*I22)</f>
        <v>-234.43130900951664</v>
      </c>
      <c r="J9" s="12">
        <f>-(J7*J22)</f>
        <v>-256.80884305133412</v>
      </c>
      <c r="K9" s="12">
        <f>-(K7*K22)</f>
        <v>-281.32241443350694</v>
      </c>
    </row>
    <row r="10" spans="1:11">
      <c r="C10" s="1" t="s">
        <v>9</v>
      </c>
      <c r="D10" s="6">
        <f>SUM(D7:D9)</f>
        <v>250</v>
      </c>
      <c r="E10" s="6">
        <f t="shared" ref="E10:F10" si="2">SUM(E7:E9)</f>
        <v>235</v>
      </c>
      <c r="F10" s="6">
        <f>SUM(F7:F9)</f>
        <v>250</v>
      </c>
      <c r="G10" s="8">
        <f t="shared" ref="G10:K10" si="3">SUM(G7:G9)</f>
        <v>294.444903581267</v>
      </c>
      <c r="H10" s="8">
        <f t="shared" si="3"/>
        <v>322.55100801402443</v>
      </c>
      <c r="I10" s="8">
        <f t="shared" si="3"/>
        <v>353.33996786990849</v>
      </c>
      <c r="J10" s="8">
        <f t="shared" si="3"/>
        <v>387.06787389385437</v>
      </c>
      <c r="K10" s="8">
        <f t="shared" si="3"/>
        <v>424.0152618564494</v>
      </c>
    </row>
    <row r="12" spans="1:11">
      <c r="C12" t="s">
        <v>10</v>
      </c>
      <c r="D12" s="4">
        <v>5</v>
      </c>
      <c r="E12" s="4">
        <v>6</v>
      </c>
      <c r="F12" s="4">
        <v>7</v>
      </c>
      <c r="G12" s="28">
        <f>G32*F37</f>
        <v>9.18</v>
      </c>
      <c r="H12" s="28">
        <f t="shared" ref="H12:K12" si="4">H32*G37</f>
        <v>8.3778536948735649</v>
      </c>
      <c r="I12" s="28">
        <f t="shared" si="4"/>
        <v>7.8621109868144323</v>
      </c>
      <c r="J12" s="28">
        <f t="shared" si="4"/>
        <v>7.7718602148112144</v>
      </c>
      <c r="K12" s="28">
        <f t="shared" si="4"/>
        <v>8.1577701596140635</v>
      </c>
    </row>
    <row r="13" spans="1:11">
      <c r="C13" s="2" t="s">
        <v>11</v>
      </c>
      <c r="D13" s="5">
        <v>-13</v>
      </c>
      <c r="E13" s="5">
        <v>-14</v>
      </c>
      <c r="F13" s="4">
        <v>-15</v>
      </c>
      <c r="G13" s="14">
        <f>-G33*SUM(F54,F55)</f>
        <v>-15.280000000000001</v>
      </c>
      <c r="H13" s="14">
        <f>-H33*SUM(G54,G55)</f>
        <v>-14.88</v>
      </c>
      <c r="I13" s="14">
        <f>-I33*SUM(H54,H55)</f>
        <v>-14.88</v>
      </c>
      <c r="J13" s="14">
        <f>-J33*SUM(I54,I55)</f>
        <v>-14.88</v>
      </c>
      <c r="K13" s="14">
        <f>-K33*SUM(J54,J55)</f>
        <v>-14.88</v>
      </c>
    </row>
    <row r="14" spans="1:11">
      <c r="C14" s="1" t="s">
        <v>12</v>
      </c>
      <c r="D14" s="6">
        <f>D10+SUM(D12:D13)</f>
        <v>242</v>
      </c>
      <c r="E14" s="6">
        <f>E10+SUM(E12:E13)</f>
        <v>227</v>
      </c>
      <c r="F14" s="8">
        <f>F10+SUM(F12:F13)</f>
        <v>242</v>
      </c>
      <c r="G14" s="8">
        <f>G10+SUM(G12:G13)</f>
        <v>288.34490358126698</v>
      </c>
      <c r="H14" s="8">
        <f>H10+SUM(H12:H13)</f>
        <v>316.04886170889802</v>
      </c>
      <c r="I14" s="8">
        <f>I10+SUM(I12:I13)</f>
        <v>346.3220788567229</v>
      </c>
      <c r="J14" s="8">
        <f>J10+SUM(J12:J13)</f>
        <v>379.9597341086656</v>
      </c>
      <c r="K14" s="8">
        <f>K10+SUM(K12:K13)</f>
        <v>417.29303201606348</v>
      </c>
    </row>
    <row r="16" spans="1:11">
      <c r="C16" t="s">
        <v>13</v>
      </c>
      <c r="D16" s="4">
        <v>-70</v>
      </c>
      <c r="E16" s="4">
        <v>-68</v>
      </c>
      <c r="F16" s="4">
        <v>-71</v>
      </c>
      <c r="G16" s="13">
        <f>-G23*G14</f>
        <v>-84.793018666393266</v>
      </c>
      <c r="H16" s="13">
        <f>-H23*H14</f>
        <v>-92.939867143592465</v>
      </c>
      <c r="I16" s="13">
        <f>-I23*I14</f>
        <v>-101.84225256752565</v>
      </c>
      <c r="J16" s="13">
        <f>-J23*J14</f>
        <v>-111.7340116874083</v>
      </c>
      <c r="K16" s="13">
        <f>-K23*K14</f>
        <v>-122.71254117422413</v>
      </c>
    </row>
    <row r="17" spans="3:11">
      <c r="C17" s="7" t="s">
        <v>14</v>
      </c>
      <c r="D17" s="8">
        <f>D14+D16</f>
        <v>172</v>
      </c>
      <c r="E17" s="8">
        <f t="shared" ref="E17:K17" si="5">E14+E16</f>
        <v>159</v>
      </c>
      <c r="F17" s="8">
        <f t="shared" si="5"/>
        <v>171</v>
      </c>
      <c r="G17" s="8">
        <f t="shared" si="5"/>
        <v>203.55188491487371</v>
      </c>
      <c r="H17" s="8">
        <f t="shared" si="5"/>
        <v>223.10899456530555</v>
      </c>
      <c r="I17" s="8">
        <f t="shared" si="5"/>
        <v>244.47982628919726</v>
      </c>
      <c r="J17" s="8">
        <f t="shared" si="5"/>
        <v>268.22572242125727</v>
      </c>
      <c r="K17" s="8">
        <f t="shared" si="5"/>
        <v>294.58049084183938</v>
      </c>
    </row>
    <row r="19" spans="3:11">
      <c r="C19" s="9" t="s">
        <v>15</v>
      </c>
      <c r="D19" s="2"/>
      <c r="E19" s="2"/>
      <c r="F19" s="2"/>
      <c r="G19" s="2"/>
      <c r="H19" s="2"/>
      <c r="I19" s="2"/>
      <c r="J19" s="2"/>
      <c r="K19" s="2"/>
    </row>
    <row r="20" spans="3:11">
      <c r="C20" t="s">
        <v>16</v>
      </c>
      <c r="D20" s="10"/>
      <c r="E20" s="11">
        <f>E7/D7-1</f>
        <v>0.10000000000000009</v>
      </c>
      <c r="F20" s="11">
        <f>F7/E7-1</f>
        <v>9.0909090909090828E-2</v>
      </c>
      <c r="G20" s="11">
        <f>AVERAGE(E20:F20)</f>
        <v>9.5454545454545459E-2</v>
      </c>
      <c r="H20" s="11">
        <f>G20</f>
        <v>9.5454545454545459E-2</v>
      </c>
      <c r="I20" s="11">
        <f t="shared" ref="I20:K20" si="6">H20</f>
        <v>9.5454545454545459E-2</v>
      </c>
      <c r="J20" s="11">
        <f t="shared" si="6"/>
        <v>9.5454545454545459E-2</v>
      </c>
      <c r="K20" s="11">
        <f t="shared" si="6"/>
        <v>9.5454545454545459E-2</v>
      </c>
    </row>
    <row r="21" spans="3:11">
      <c r="C21" t="s">
        <v>17</v>
      </c>
      <c r="D21" s="10">
        <f t="shared" ref="D21:E21" si="7">1+D8/D7</f>
        <v>0.4</v>
      </c>
      <c r="E21" s="10">
        <f t="shared" si="7"/>
        <v>0.36363636363636365</v>
      </c>
      <c r="F21" s="10">
        <f>1+F8/F7</f>
        <v>0.35416666666666663</v>
      </c>
      <c r="G21" s="10">
        <f>AVERAGE(D21:F21)</f>
        <v>0.37260101010101004</v>
      </c>
      <c r="H21" s="10">
        <f>G21</f>
        <v>0.37260101010101004</v>
      </c>
      <c r="I21" s="10">
        <f t="shared" ref="I21:K23" si="8">H21</f>
        <v>0.37260101010101004</v>
      </c>
      <c r="J21" s="10">
        <f t="shared" si="8"/>
        <v>0.37260101010101004</v>
      </c>
      <c r="K21" s="10">
        <f t="shared" si="8"/>
        <v>0.37260101010101004</v>
      </c>
    </row>
    <row r="22" spans="3:11">
      <c r="C22" t="s">
        <v>18</v>
      </c>
      <c r="D22" s="10">
        <f>-D9/D7</f>
        <v>0.15</v>
      </c>
      <c r="E22" s="10">
        <f>-E9/E7</f>
        <v>0.15</v>
      </c>
      <c r="F22" s="10">
        <f>-F9/F7</f>
        <v>0.14583333333333334</v>
      </c>
      <c r="G22" s="10">
        <f>AVERAGE(D22:F22)</f>
        <v>0.14861111111111111</v>
      </c>
      <c r="H22" s="10">
        <f>G22</f>
        <v>0.14861111111111111</v>
      </c>
      <c r="I22" s="10">
        <f t="shared" si="8"/>
        <v>0.14861111111111111</v>
      </c>
      <c r="J22" s="10">
        <f t="shared" si="8"/>
        <v>0.14861111111111111</v>
      </c>
      <c r="K22" s="10">
        <f t="shared" si="8"/>
        <v>0.14861111111111111</v>
      </c>
    </row>
    <row r="23" spans="3:11">
      <c r="C23" t="s">
        <v>19</v>
      </c>
      <c r="D23" s="10">
        <f>-D16/D14</f>
        <v>0.28925619834710742</v>
      </c>
      <c r="E23" s="10">
        <f t="shared" ref="E23:F23" si="9">-E16/E14</f>
        <v>0.29955947136563876</v>
      </c>
      <c r="F23" s="10">
        <f t="shared" si="9"/>
        <v>0.29338842975206614</v>
      </c>
      <c r="G23" s="10">
        <f>AVERAGE(D23:F23)</f>
        <v>0.29406803315493746</v>
      </c>
      <c r="H23" s="10">
        <f>G23</f>
        <v>0.29406803315493746</v>
      </c>
      <c r="I23" s="10">
        <f t="shared" si="8"/>
        <v>0.29406803315493746</v>
      </c>
      <c r="J23" s="10">
        <f t="shared" si="8"/>
        <v>0.29406803315493746</v>
      </c>
      <c r="K23" s="10">
        <f t="shared" si="8"/>
        <v>0.29406803315493746</v>
      </c>
    </row>
    <row r="24" spans="3:11">
      <c r="C24" s="15" t="s">
        <v>20</v>
      </c>
      <c r="G24" s="10">
        <f>G8/F8-1</f>
        <v>6.4186439171776577E-2</v>
      </c>
      <c r="H24" s="10">
        <f t="shared" ref="H24:K24" si="10">H8/G8-1</f>
        <v>9.5454545454545459E-2</v>
      </c>
      <c r="I24" s="10">
        <f t="shared" si="10"/>
        <v>9.5454545454545459E-2</v>
      </c>
      <c r="J24" s="10">
        <f t="shared" si="10"/>
        <v>9.5454545454545459E-2</v>
      </c>
      <c r="K24" s="10">
        <f t="shared" si="10"/>
        <v>9.5454545454545459E-2</v>
      </c>
    </row>
    <row r="25" spans="3:11">
      <c r="C25" s="15"/>
      <c r="G25" s="10"/>
      <c r="H25" s="10"/>
      <c r="I25" s="10"/>
      <c r="J25" s="10"/>
      <c r="K25" s="10"/>
    </row>
    <row r="26" spans="3:11">
      <c r="C26" s="15" t="s">
        <v>21</v>
      </c>
      <c r="D26" s="4">
        <v>-25</v>
      </c>
      <c r="E26" s="4">
        <v>-30</v>
      </c>
      <c r="F26" s="4">
        <v>-35</v>
      </c>
      <c r="G26" s="13">
        <f>F26*(1+G20)</f>
        <v>-38.340909090909093</v>
      </c>
      <c r="H26" s="13">
        <f t="shared" ref="H26:K26" si="11">G26*(1+H20)</f>
        <v>-42.000723140495872</v>
      </c>
      <c r="I26" s="13">
        <f t="shared" si="11"/>
        <v>-46.009883076634111</v>
      </c>
      <c r="J26" s="13">
        <f t="shared" si="11"/>
        <v>-50.401735552131001</v>
      </c>
      <c r="K26" s="13">
        <f t="shared" si="11"/>
        <v>-55.212810309379869</v>
      </c>
    </row>
    <row r="27" spans="3:11">
      <c r="C27" s="15" t="s">
        <v>22</v>
      </c>
      <c r="D27" s="4">
        <v>-35</v>
      </c>
      <c r="E27" s="4">
        <v>-40</v>
      </c>
      <c r="F27" s="4">
        <v>-67</v>
      </c>
      <c r="G27" s="13">
        <f>F27*(1+G20)</f>
        <v>-73.395454545454541</v>
      </c>
      <c r="H27" s="13">
        <f t="shared" ref="H27:K27" si="12">G27*(1+H20)</f>
        <v>-80.40138429752065</v>
      </c>
      <c r="I27" s="13">
        <f t="shared" si="12"/>
        <v>-88.076061889556712</v>
      </c>
      <c r="J27" s="13">
        <f t="shared" si="12"/>
        <v>-96.483322342650766</v>
      </c>
      <c r="K27" s="13">
        <f t="shared" si="12"/>
        <v>-105.69309402081288</v>
      </c>
    </row>
    <row r="29" spans="3:11">
      <c r="C29" s="15" t="s">
        <v>23</v>
      </c>
      <c r="D29" s="4">
        <v>-10</v>
      </c>
      <c r="E29" s="4">
        <v>-12</v>
      </c>
      <c r="F29" s="4">
        <v>-14</v>
      </c>
      <c r="G29" s="13">
        <f>F29*(1+G20)</f>
        <v>-15.336363636363636</v>
      </c>
      <c r="H29" s="13">
        <f t="shared" ref="H29:K30" si="13">G29*(1+H20)</f>
        <v>-16.800289256198347</v>
      </c>
      <c r="I29" s="13">
        <f t="shared" si="13"/>
        <v>-18.403953230653645</v>
      </c>
      <c r="J29" s="13">
        <f t="shared" si="13"/>
        <v>-20.160694220852402</v>
      </c>
      <c r="K29" s="13">
        <f t="shared" si="13"/>
        <v>-22.08512412375195</v>
      </c>
    </row>
    <row r="30" spans="3:11">
      <c r="C30" s="15" t="s">
        <v>24</v>
      </c>
      <c r="D30" s="4">
        <v>-16</v>
      </c>
      <c r="E30" s="4">
        <v>-18</v>
      </c>
      <c r="F30" s="4">
        <v>-21</v>
      </c>
      <c r="G30" s="13">
        <f>F30*(1+G20)</f>
        <v>-23.004545454545454</v>
      </c>
      <c r="H30" s="13">
        <f t="shared" ref="H30:K30" si="14">G30*(1+H20)</f>
        <v>-25.200433884297521</v>
      </c>
      <c r="I30" s="13">
        <f t="shared" si="14"/>
        <v>-27.605929845980466</v>
      </c>
      <c r="J30" s="13">
        <f t="shared" si="14"/>
        <v>-30.241041331278602</v>
      </c>
      <c r="K30" s="13">
        <f t="shared" si="14"/>
        <v>-33.127686185627923</v>
      </c>
    </row>
    <row r="31" spans="3:11">
      <c r="C31" s="15"/>
      <c r="D31" s="13"/>
      <c r="E31" s="13"/>
      <c r="F31" s="13"/>
      <c r="G31" s="13"/>
      <c r="H31" s="13"/>
      <c r="I31" s="13"/>
      <c r="J31" s="13"/>
      <c r="K31" s="13"/>
    </row>
    <row r="32" spans="3:11">
      <c r="C32" s="15" t="s">
        <v>25</v>
      </c>
      <c r="D32" s="13"/>
      <c r="E32" s="13"/>
      <c r="F32" s="13"/>
      <c r="G32" s="27">
        <v>0.03</v>
      </c>
      <c r="H32" s="27">
        <v>0.03</v>
      </c>
      <c r="I32" s="27">
        <v>0.03</v>
      </c>
      <c r="J32" s="27">
        <v>0.03</v>
      </c>
      <c r="K32" s="27">
        <v>0.03</v>
      </c>
    </row>
    <row r="33" spans="1:15">
      <c r="C33" s="15" t="s">
        <v>26</v>
      </c>
      <c r="D33" s="13"/>
      <c r="E33" s="13"/>
      <c r="F33" s="13"/>
      <c r="G33" s="27">
        <v>0.08</v>
      </c>
      <c r="H33" s="27">
        <v>0.08</v>
      </c>
      <c r="I33" s="27">
        <v>0.08</v>
      </c>
      <c r="J33" s="27">
        <v>0.08</v>
      </c>
      <c r="K33" s="27">
        <v>0.08</v>
      </c>
    </row>
    <row r="34" spans="1:15">
      <c r="C34" s="15"/>
      <c r="D34" s="13"/>
      <c r="E34" s="13"/>
      <c r="F34" s="13"/>
      <c r="G34" s="13"/>
      <c r="H34" s="13"/>
      <c r="I34" s="13"/>
      <c r="J34" s="13"/>
      <c r="K34" s="13"/>
    </row>
    <row r="35" spans="1:15">
      <c r="A35" s="3" t="s">
        <v>3</v>
      </c>
      <c r="B35" t="s">
        <v>4</v>
      </c>
      <c r="C35" s="1" t="s">
        <v>27</v>
      </c>
    </row>
    <row r="37" spans="1:15">
      <c r="C37" t="s">
        <v>28</v>
      </c>
      <c r="D37" s="4">
        <v>286</v>
      </c>
      <c r="E37" s="4">
        <v>296</v>
      </c>
      <c r="F37" s="4">
        <v>306</v>
      </c>
      <c r="G37" s="19">
        <f>F37+G108</f>
        <v>279.26178982911881</v>
      </c>
      <c r="H37" s="19">
        <f>G37+H108</f>
        <v>262.07036622714776</v>
      </c>
      <c r="I37" s="19">
        <f t="shared" ref="I37:K37" si="15">H37+I108</f>
        <v>259.06200716037381</v>
      </c>
      <c r="J37" s="19">
        <f t="shared" si="15"/>
        <v>271.92567198713544</v>
      </c>
      <c r="K37" s="19">
        <f t="shared" si="15"/>
        <v>302.51863610045899</v>
      </c>
    </row>
    <row r="38" spans="1:15">
      <c r="C38" t="s">
        <v>29</v>
      </c>
      <c r="D38" s="4">
        <v>135</v>
      </c>
      <c r="E38" s="4">
        <v>145</v>
      </c>
      <c r="F38" s="4">
        <v>154</v>
      </c>
      <c r="G38">
        <f>F38*(1+G20)</f>
        <v>168.7</v>
      </c>
      <c r="H38" s="12">
        <f>G38*(1+H20)</f>
        <v>184.8031818181818</v>
      </c>
      <c r="I38" s="12">
        <f>H38*(1+I20)</f>
        <v>202.44348553719007</v>
      </c>
      <c r="J38" s="12">
        <f>I38*(1+J20)</f>
        <v>221.76763642937641</v>
      </c>
      <c r="K38" s="12">
        <f>J38*(1+K20)</f>
        <v>242.93636536127144</v>
      </c>
      <c r="L38" s="31"/>
      <c r="M38" s="31"/>
      <c r="N38" s="31"/>
      <c r="O38" s="31"/>
    </row>
    <row r="39" spans="1:15">
      <c r="C39" t="s">
        <v>30</v>
      </c>
      <c r="D39" s="4">
        <v>265</v>
      </c>
      <c r="E39" s="4">
        <v>297</v>
      </c>
      <c r="F39" s="4">
        <v>345</v>
      </c>
      <c r="G39" s="12">
        <f>F39*(1+G24)</f>
        <v>367.14432151426291</v>
      </c>
      <c r="H39" s="12">
        <f>G39*(1+H24)</f>
        <v>402.18991584062439</v>
      </c>
      <c r="I39" s="12">
        <f>H39*(1+I24)</f>
        <v>440.58077144359311</v>
      </c>
      <c r="J39" s="12">
        <f>I39*(1+J24)</f>
        <v>482.63620871775424</v>
      </c>
      <c r="K39" s="12">
        <f>J39*(1+K24)</f>
        <v>528.70602864081263</v>
      </c>
      <c r="L39" s="31"/>
      <c r="M39" s="31"/>
      <c r="N39" s="31"/>
      <c r="O39" s="31"/>
    </row>
    <row r="40" spans="1:15">
      <c r="C40" t="s">
        <v>31</v>
      </c>
      <c r="D40" s="4">
        <v>39</v>
      </c>
      <c r="E40" s="4">
        <v>41</v>
      </c>
      <c r="F40" s="4">
        <v>45</v>
      </c>
      <c r="G40" s="12">
        <f>F40*(1+G20)</f>
        <v>49.295454545454547</v>
      </c>
      <c r="H40" s="12">
        <f>G40*(1+H20)</f>
        <v>54.000929752066121</v>
      </c>
      <c r="I40" s="12">
        <f>H40*(1+I20)</f>
        <v>59.155563955672434</v>
      </c>
      <c r="J40" s="12">
        <f>I40*(1+J20)</f>
        <v>64.80223142416844</v>
      </c>
      <c r="K40" s="12">
        <f>J40*(1+K20)</f>
        <v>70.987898969202703</v>
      </c>
      <c r="L40" s="31"/>
      <c r="M40" s="31"/>
      <c r="N40" s="31"/>
      <c r="O40" s="31"/>
    </row>
    <row r="41" spans="1:15">
      <c r="B41">
        <v>1</v>
      </c>
      <c r="C41" s="7" t="s">
        <v>32</v>
      </c>
      <c r="D41" s="16">
        <f>SUM(D37:D40)</f>
        <v>725</v>
      </c>
      <c r="E41" s="16">
        <f t="shared" ref="E41:F41" si="16">SUM(E37:E40)</f>
        <v>779</v>
      </c>
      <c r="F41" s="16">
        <f t="shared" si="16"/>
        <v>850</v>
      </c>
      <c r="G41" s="16">
        <f t="shared" ref="G41" si="17">SUM(G37:G40)</f>
        <v>864.40156588883622</v>
      </c>
      <c r="H41" s="16">
        <f t="shared" ref="H41" si="18">SUM(H37:H40)</f>
        <v>903.06439363802008</v>
      </c>
      <c r="I41" s="16">
        <f t="shared" ref="I41" si="19">SUM(I37:I40)</f>
        <v>961.24182809682941</v>
      </c>
      <c r="J41" s="16">
        <f t="shared" ref="J41" si="20">SUM(J37:J40)</f>
        <v>1041.1317485584345</v>
      </c>
      <c r="K41" s="16">
        <f t="shared" ref="K41" si="21">SUM(K37:K40)</f>
        <v>1145.1489290717457</v>
      </c>
      <c r="L41" s="31"/>
      <c r="M41" s="32"/>
      <c r="N41" s="32"/>
      <c r="O41" s="32"/>
    </row>
    <row r="42" spans="1:15">
      <c r="L42" s="31"/>
      <c r="M42" s="31"/>
      <c r="N42" s="31"/>
      <c r="O42" s="31"/>
    </row>
    <row r="43" spans="1:15">
      <c r="C43" t="s">
        <v>33</v>
      </c>
      <c r="D43" s="4">
        <v>210</v>
      </c>
      <c r="E43" s="4">
        <v>243</v>
      </c>
      <c r="F43" s="4">
        <v>265</v>
      </c>
      <c r="G43" s="13">
        <f>F43-G27+G26</f>
        <v>300.0545454545454</v>
      </c>
      <c r="H43" s="13">
        <f>G43-H27+H26</f>
        <v>338.45520661157013</v>
      </c>
      <c r="I43" s="13">
        <f>H43-I27+I26</f>
        <v>380.52138542449279</v>
      </c>
      <c r="J43" s="13">
        <f>I43-J27+J26</f>
        <v>426.60297221501253</v>
      </c>
      <c r="K43" s="13">
        <f>J43-K27+K26</f>
        <v>477.08325592644553</v>
      </c>
      <c r="L43" s="31"/>
      <c r="M43" s="31"/>
      <c r="N43" s="31"/>
      <c r="O43" s="31"/>
    </row>
    <row r="44" spans="1:15">
      <c r="C44" t="s">
        <v>34</v>
      </c>
      <c r="D44" s="4">
        <v>47</v>
      </c>
      <c r="E44" s="4">
        <v>56</v>
      </c>
      <c r="F44" s="5">
        <v>67</v>
      </c>
      <c r="G44" s="18">
        <f>F44-G30+G29</f>
        <v>74.668181818181807</v>
      </c>
      <c r="H44" s="18">
        <f>G44-H30+H29</f>
        <v>83.068326446280992</v>
      </c>
      <c r="I44" s="18">
        <f>H44-I30+I29</f>
        <v>92.270303061607819</v>
      </c>
      <c r="J44" s="18">
        <f>I44-J30+J29</f>
        <v>102.35065017203402</v>
      </c>
      <c r="K44" s="18">
        <f>J44-K30+K29</f>
        <v>113.39321223390998</v>
      </c>
      <c r="L44" s="31"/>
      <c r="M44" s="31"/>
      <c r="N44" s="31"/>
      <c r="O44" s="31"/>
    </row>
    <row r="45" spans="1:15">
      <c r="B45">
        <v>2</v>
      </c>
      <c r="C45" s="7" t="s">
        <v>35</v>
      </c>
      <c r="D45" s="16">
        <f>SUM(D43:D44)</f>
        <v>257</v>
      </c>
      <c r="E45" s="16">
        <f t="shared" ref="E45:F45" si="22">SUM(E43:E44)</f>
        <v>299</v>
      </c>
      <c r="F45" s="16">
        <f>SUM(F43:F44)</f>
        <v>332</v>
      </c>
      <c r="G45" s="16">
        <f t="shared" ref="G45:K45" si="23">SUM(G43:G44)</f>
        <v>374.72272727272718</v>
      </c>
      <c r="H45" s="16">
        <f t="shared" si="23"/>
        <v>421.52353305785113</v>
      </c>
      <c r="I45" s="16">
        <f t="shared" si="23"/>
        <v>472.79168848610061</v>
      </c>
      <c r="J45" s="16">
        <f t="shared" si="23"/>
        <v>528.95362238704661</v>
      </c>
      <c r="K45" s="16">
        <f t="shared" si="23"/>
        <v>590.47646816035547</v>
      </c>
      <c r="L45" s="31"/>
      <c r="M45" s="31"/>
      <c r="N45" s="31"/>
      <c r="O45" s="31"/>
    </row>
    <row r="46" spans="1:15">
      <c r="G46" s="2"/>
      <c r="H46" s="2"/>
      <c r="I46" s="2"/>
      <c r="J46" s="2"/>
      <c r="K46" s="2"/>
      <c r="L46" s="31"/>
      <c r="M46" s="32"/>
      <c r="N46" s="32"/>
      <c r="O46" s="32"/>
    </row>
    <row r="47" spans="1:15">
      <c r="B47">
        <v>3</v>
      </c>
      <c r="C47" s="7" t="s">
        <v>36</v>
      </c>
      <c r="D47" s="16">
        <f>D41+D45</f>
        <v>982</v>
      </c>
      <c r="E47" s="16">
        <f t="shared" ref="E47:F47" si="24">E41+E45</f>
        <v>1078</v>
      </c>
      <c r="F47" s="16">
        <f>F41+F45</f>
        <v>1182</v>
      </c>
      <c r="G47" s="16">
        <f>G41+G45</f>
        <v>1239.1242931615634</v>
      </c>
      <c r="H47" s="16">
        <f t="shared" ref="H47:K47" si="25">H41+H45</f>
        <v>1324.5879266958711</v>
      </c>
      <c r="I47" s="16">
        <f t="shared" si="25"/>
        <v>1434.0335165829301</v>
      </c>
      <c r="J47" s="16">
        <f t="shared" si="25"/>
        <v>1570.0853709454811</v>
      </c>
      <c r="K47" s="16">
        <f t="shared" si="25"/>
        <v>1735.625397232101</v>
      </c>
    </row>
    <row r="49" spans="1:11">
      <c r="C49" t="s">
        <v>37</v>
      </c>
      <c r="D49" s="4">
        <v>45</v>
      </c>
      <c r="E49" s="4">
        <v>47</v>
      </c>
      <c r="F49" s="4">
        <v>49</v>
      </c>
      <c r="G49" s="13">
        <f>F49*(1+G24)</f>
        <v>52.145135519417053</v>
      </c>
      <c r="H49" s="13">
        <f>G49*(1+H24)</f>
        <v>57.122625728088678</v>
      </c>
      <c r="I49" s="13">
        <f>H49*(1+I24)</f>
        <v>62.575240002133505</v>
      </c>
      <c r="J49" s="13">
        <f>I49*(1+J24)</f>
        <v>68.548331093246247</v>
      </c>
      <c r="K49" s="13">
        <f>J49*(1+K24)</f>
        <v>75.091580879419752</v>
      </c>
    </row>
    <row r="50" spans="1:11">
      <c r="C50" t="s">
        <v>38</v>
      </c>
      <c r="D50" s="4">
        <v>32</v>
      </c>
      <c r="E50" s="4">
        <v>37</v>
      </c>
      <c r="F50" s="4">
        <v>47</v>
      </c>
      <c r="G50" s="13">
        <f>F50*(1+G20)</f>
        <v>51.486363636363635</v>
      </c>
      <c r="H50" s="13">
        <f>G50*(1+H20)</f>
        <v>56.400971074380166</v>
      </c>
      <c r="I50" s="13">
        <f>H50*(1+I20)</f>
        <v>61.784700131480093</v>
      </c>
      <c r="J50" s="13">
        <f>I50*(1+J20)</f>
        <v>67.682330598575916</v>
      </c>
      <c r="K50" s="13">
        <f>J50*(1+K20)</f>
        <v>74.142916701167252</v>
      </c>
    </row>
    <row r="51" spans="1:11">
      <c r="C51" t="s">
        <v>39</v>
      </c>
      <c r="D51" s="4">
        <v>112</v>
      </c>
      <c r="E51" s="4">
        <v>143</v>
      </c>
      <c r="F51" s="4">
        <v>167</v>
      </c>
      <c r="G51" s="13">
        <f>F51*(1+G20)</f>
        <v>182.94090909090909</v>
      </c>
      <c r="H51" s="13">
        <f>G51*(1+H20)</f>
        <v>200.40345041322314</v>
      </c>
      <c r="I51" s="13">
        <f>H51*(1+I20)</f>
        <v>219.53287067993989</v>
      </c>
      <c r="J51" s="13">
        <f>I51*(1+J20)</f>
        <v>240.48828106302506</v>
      </c>
      <c r="K51" s="13">
        <f>J51*(1+K20)</f>
        <v>263.4439806190411</v>
      </c>
    </row>
    <row r="52" spans="1:11">
      <c r="B52">
        <v>1</v>
      </c>
      <c r="C52" s="7" t="s">
        <v>40</v>
      </c>
      <c r="D52" s="16">
        <f>SUM(D49:D51)</f>
        <v>189</v>
      </c>
      <c r="E52" s="16">
        <f t="shared" ref="E52:F52" si="26">SUM(E49:E51)</f>
        <v>227</v>
      </c>
      <c r="F52" s="16">
        <f t="shared" si="26"/>
        <v>263</v>
      </c>
      <c r="G52" s="16">
        <f t="shared" ref="G52" si="27">SUM(G49:G51)</f>
        <v>286.57240824668975</v>
      </c>
      <c r="H52" s="16">
        <f t="shared" ref="H52" si="28">SUM(H49:H51)</f>
        <v>313.92704721569197</v>
      </c>
      <c r="I52" s="16">
        <f t="shared" ref="I52" si="29">SUM(I49:I51)</f>
        <v>343.89281081355352</v>
      </c>
      <c r="J52" s="16">
        <f t="shared" ref="J52" si="30">SUM(J49:J51)</f>
        <v>376.71894275484721</v>
      </c>
      <c r="K52" s="16">
        <f t="shared" ref="K52" si="31">SUM(K49:K51)</f>
        <v>412.6784781996281</v>
      </c>
    </row>
    <row r="54" spans="1:11">
      <c r="C54" t="s">
        <v>41</v>
      </c>
      <c r="D54" s="4">
        <v>0</v>
      </c>
      <c r="E54" s="4">
        <v>12</v>
      </c>
      <c r="F54" s="4">
        <v>5</v>
      </c>
      <c r="G54" s="19">
        <f>F54+G112</f>
        <v>0</v>
      </c>
      <c r="H54" s="19">
        <f t="shared" ref="H54:K54" si="32">G54+H112</f>
        <v>0</v>
      </c>
      <c r="I54" s="19">
        <f t="shared" si="32"/>
        <v>0</v>
      </c>
      <c r="J54" s="19">
        <f t="shared" si="32"/>
        <v>0</v>
      </c>
      <c r="K54" s="19">
        <f t="shared" si="32"/>
        <v>0</v>
      </c>
    </row>
    <row r="55" spans="1:11">
      <c r="C55" t="s">
        <v>42</v>
      </c>
      <c r="D55" s="4">
        <v>167</v>
      </c>
      <c r="E55" s="4">
        <v>178</v>
      </c>
      <c r="F55" s="4">
        <v>186</v>
      </c>
      <c r="G55" s="13">
        <f>F55</f>
        <v>186</v>
      </c>
      <c r="H55" s="13">
        <f t="shared" ref="H55:K55" si="33">G55</f>
        <v>186</v>
      </c>
      <c r="I55" s="13">
        <f t="shared" si="33"/>
        <v>186</v>
      </c>
      <c r="J55" s="13">
        <f t="shared" si="33"/>
        <v>186</v>
      </c>
      <c r="K55" s="13">
        <f t="shared" si="33"/>
        <v>186</v>
      </c>
    </row>
    <row r="56" spans="1:11">
      <c r="C56" t="s">
        <v>43</v>
      </c>
      <c r="D56" s="4">
        <v>45</v>
      </c>
      <c r="E56" s="4">
        <v>47</v>
      </c>
      <c r="F56" s="4">
        <v>49</v>
      </c>
      <c r="G56" s="13">
        <f>F56</f>
        <v>49</v>
      </c>
      <c r="H56" s="13">
        <f t="shared" ref="H56:K56" si="34">G56</f>
        <v>49</v>
      </c>
      <c r="I56" s="13">
        <f t="shared" si="34"/>
        <v>49</v>
      </c>
      <c r="J56" s="13">
        <f t="shared" si="34"/>
        <v>49</v>
      </c>
      <c r="K56" s="13">
        <f t="shared" si="34"/>
        <v>49</v>
      </c>
    </row>
    <row r="57" spans="1:11">
      <c r="B57">
        <v>2</v>
      </c>
      <c r="C57" s="7" t="s">
        <v>44</v>
      </c>
      <c r="D57" s="16">
        <f>SUM(D54:D56)+D52</f>
        <v>401</v>
      </c>
      <c r="E57" s="16">
        <f>SUM(E54:E56)+E52</f>
        <v>464</v>
      </c>
      <c r="F57" s="16">
        <f t="shared" ref="E57:F57" si="35">SUM(F54:F56)+F52</f>
        <v>503</v>
      </c>
      <c r="G57" s="16">
        <f>SUM(G54:G56)+G52</f>
        <v>521.57240824668975</v>
      </c>
      <c r="H57" s="16">
        <f t="shared" ref="H57" si="36">SUM(H54:H56)+H52</f>
        <v>548.92704721569203</v>
      </c>
      <c r="I57" s="16">
        <f t="shared" ref="I57" si="37">SUM(I54:I56)+I52</f>
        <v>578.89281081355352</v>
      </c>
      <c r="J57" s="16">
        <f t="shared" ref="J57" si="38">SUM(J54:J56)+J52</f>
        <v>611.71894275484715</v>
      </c>
      <c r="K57" s="16">
        <f t="shared" ref="K57" si="39">SUM(K54:K56)+K52</f>
        <v>647.6784781996281</v>
      </c>
    </row>
    <row r="59" spans="1:11">
      <c r="C59" t="s">
        <v>45</v>
      </c>
      <c r="D59" s="4">
        <v>35</v>
      </c>
      <c r="E59" s="4">
        <v>37</v>
      </c>
      <c r="F59" s="4">
        <v>39</v>
      </c>
      <c r="G59" s="12">
        <f>G72</f>
        <v>44</v>
      </c>
      <c r="H59" s="12">
        <f t="shared" ref="H59:K59" si="40">H72</f>
        <v>49</v>
      </c>
      <c r="I59" s="12">
        <f t="shared" si="40"/>
        <v>54</v>
      </c>
      <c r="J59" s="12">
        <f t="shared" si="40"/>
        <v>59</v>
      </c>
      <c r="K59" s="12">
        <f t="shared" si="40"/>
        <v>64</v>
      </c>
    </row>
    <row r="60" spans="1:11">
      <c r="C60" t="s">
        <v>46</v>
      </c>
      <c r="D60" s="4">
        <v>-145</v>
      </c>
      <c r="E60" s="4">
        <v>-178</v>
      </c>
      <c r="F60" s="4">
        <v>-210</v>
      </c>
      <c r="G60" s="13">
        <f>G76</f>
        <v>-230</v>
      </c>
      <c r="H60" s="13">
        <f t="shared" ref="H60:K60" si="41">H76</f>
        <v>-250</v>
      </c>
      <c r="I60" s="13">
        <f t="shared" si="41"/>
        <v>-270</v>
      </c>
      <c r="J60" s="13">
        <f t="shared" si="41"/>
        <v>-290</v>
      </c>
      <c r="K60" s="13">
        <f t="shared" si="41"/>
        <v>-310</v>
      </c>
    </row>
    <row r="61" spans="1:11">
      <c r="C61" t="s">
        <v>47</v>
      </c>
      <c r="D61" s="4">
        <v>-7</v>
      </c>
      <c r="E61" s="4">
        <v>12</v>
      </c>
      <c r="F61" s="4">
        <v>43</v>
      </c>
      <c r="G61" s="13">
        <f>F61</f>
        <v>43</v>
      </c>
      <c r="H61" s="13">
        <f t="shared" ref="H61:K61" si="42">G61</f>
        <v>43</v>
      </c>
      <c r="I61" s="13">
        <f t="shared" si="42"/>
        <v>43</v>
      </c>
      <c r="J61" s="13">
        <f t="shared" si="42"/>
        <v>43</v>
      </c>
      <c r="K61" s="13">
        <f t="shared" si="42"/>
        <v>43</v>
      </c>
    </row>
    <row r="62" spans="1:11">
      <c r="A62" s="26" t="s">
        <v>48</v>
      </c>
      <c r="C62" t="s">
        <v>49</v>
      </c>
      <c r="D62" s="25">
        <v>698</v>
      </c>
      <c r="E62" s="25">
        <v>743</v>
      </c>
      <c r="F62" s="25">
        <v>807</v>
      </c>
      <c r="G62" s="18">
        <f>G81</f>
        <v>860.55188491487365</v>
      </c>
      <c r="H62" s="18">
        <f t="shared" ref="H62:K62" si="43">H81</f>
        <v>933.66087948017912</v>
      </c>
      <c r="I62" s="18">
        <f t="shared" si="43"/>
        <v>1028.1407057693764</v>
      </c>
      <c r="J62" s="18">
        <f t="shared" si="43"/>
        <v>1146.3664281906335</v>
      </c>
      <c r="K62" s="18">
        <f t="shared" si="43"/>
        <v>1290.946919032473</v>
      </c>
    </row>
    <row r="63" spans="1:11">
      <c r="B63">
        <v>3</v>
      </c>
      <c r="C63" s="7" t="s">
        <v>50</v>
      </c>
      <c r="D63" s="16">
        <f>SUM(D59:D62)</f>
        <v>581</v>
      </c>
      <c r="E63" s="16">
        <f t="shared" ref="E63:K63" si="44">SUM(E59:E62)</f>
        <v>614</v>
      </c>
      <c r="F63" s="16">
        <f t="shared" si="44"/>
        <v>679</v>
      </c>
      <c r="G63" s="6">
        <f t="shared" si="44"/>
        <v>717.55188491487365</v>
      </c>
      <c r="H63" s="6">
        <f t="shared" si="44"/>
        <v>775.66087948017912</v>
      </c>
      <c r="I63" s="6">
        <f t="shared" si="44"/>
        <v>855.14070576937638</v>
      </c>
      <c r="J63" s="6">
        <f t="shared" si="44"/>
        <v>958.36642819063354</v>
      </c>
      <c r="K63" s="6">
        <f t="shared" si="44"/>
        <v>1087.946919032473</v>
      </c>
    </row>
    <row r="65" spans="1:12">
      <c r="C65" s="7" t="s">
        <v>51</v>
      </c>
      <c r="D65" s="16">
        <f>D57+D63</f>
        <v>982</v>
      </c>
      <c r="E65" s="16">
        <f t="shared" ref="E65:K65" si="45">E57+E63</f>
        <v>1078</v>
      </c>
      <c r="F65" s="16">
        <f t="shared" si="45"/>
        <v>1182</v>
      </c>
      <c r="G65" s="16">
        <f t="shared" si="45"/>
        <v>1239.1242931615634</v>
      </c>
      <c r="H65" s="16">
        <f t="shared" si="45"/>
        <v>1324.5879266958711</v>
      </c>
      <c r="I65" s="16">
        <f t="shared" si="45"/>
        <v>1434.0335165829299</v>
      </c>
      <c r="J65" s="16">
        <f t="shared" si="45"/>
        <v>1570.0853709454807</v>
      </c>
      <c r="K65" s="16">
        <f t="shared" si="45"/>
        <v>1735.625397232101</v>
      </c>
    </row>
    <row r="66" spans="1:12">
      <c r="C66" t="s">
        <v>36</v>
      </c>
      <c r="D66" s="12">
        <f>D47</f>
        <v>982</v>
      </c>
      <c r="E66" s="12">
        <f t="shared" ref="E66:K66" si="46">E47</f>
        <v>1078</v>
      </c>
      <c r="F66" s="12">
        <f t="shared" si="46"/>
        <v>1182</v>
      </c>
      <c r="G66" s="12">
        <f>G47</f>
        <v>1239.1242931615634</v>
      </c>
      <c r="H66" s="12">
        <f t="shared" si="46"/>
        <v>1324.5879266958711</v>
      </c>
      <c r="I66" s="12">
        <f t="shared" si="46"/>
        <v>1434.0335165829301</v>
      </c>
      <c r="J66" s="12">
        <f t="shared" si="46"/>
        <v>1570.0853709454811</v>
      </c>
      <c r="K66" s="12">
        <f t="shared" si="46"/>
        <v>1735.625397232101</v>
      </c>
    </row>
    <row r="67" spans="1:12">
      <c r="C67" s="21" t="s">
        <v>52</v>
      </c>
      <c r="D67" s="22">
        <f>D65-D66</f>
        <v>0</v>
      </c>
      <c r="E67" s="22">
        <f t="shared" ref="E67:F67" si="47">E65-E66</f>
        <v>0</v>
      </c>
      <c r="F67" s="22">
        <f t="shared" si="47"/>
        <v>0</v>
      </c>
      <c r="G67" s="22">
        <f t="shared" ref="G67" si="48">G65-G66</f>
        <v>0</v>
      </c>
      <c r="H67" s="22">
        <f t="shared" ref="H67" si="49">H65-H66</f>
        <v>0</v>
      </c>
      <c r="I67" s="22">
        <f t="shared" ref="I67" si="50">I65-I66</f>
        <v>0</v>
      </c>
      <c r="J67" s="22">
        <f t="shared" ref="J67" si="51">J65-J66</f>
        <v>0</v>
      </c>
      <c r="K67" s="22">
        <f t="shared" ref="K67" si="52">K65-K66</f>
        <v>0</v>
      </c>
    </row>
    <row r="69" spans="1:12">
      <c r="A69" s="3" t="s">
        <v>3</v>
      </c>
      <c r="B69" t="s">
        <v>4</v>
      </c>
      <c r="C69" s="1" t="s">
        <v>53</v>
      </c>
    </row>
    <row r="70" spans="1:12">
      <c r="C70" t="s">
        <v>54</v>
      </c>
      <c r="G70" s="12">
        <f>F59</f>
        <v>39</v>
      </c>
      <c r="H70" s="12">
        <f>G72</f>
        <v>44</v>
      </c>
      <c r="I70" s="12">
        <f t="shared" ref="I70:K70" si="53">H72</f>
        <v>49</v>
      </c>
      <c r="J70" s="12">
        <f t="shared" si="53"/>
        <v>54</v>
      </c>
      <c r="K70" s="12">
        <f t="shared" si="53"/>
        <v>59</v>
      </c>
      <c r="L70" s="20"/>
    </row>
    <row r="71" spans="1:12">
      <c r="C71" t="s">
        <v>55</v>
      </c>
      <c r="G71" s="23">
        <v>5</v>
      </c>
      <c r="H71" s="23">
        <v>5</v>
      </c>
      <c r="I71" s="23">
        <v>5</v>
      </c>
      <c r="J71" s="23">
        <v>5</v>
      </c>
      <c r="K71" s="23">
        <v>5</v>
      </c>
    </row>
    <row r="72" spans="1:12">
      <c r="C72" s="7" t="s">
        <v>56</v>
      </c>
      <c r="D72" s="7"/>
      <c r="E72" s="7"/>
      <c r="F72" s="7"/>
      <c r="G72" s="16">
        <f>SUM(G70:G71)</f>
        <v>44</v>
      </c>
      <c r="H72" s="16">
        <f t="shared" ref="H72:K72" si="54">SUM(H70:H71)</f>
        <v>49</v>
      </c>
      <c r="I72" s="16">
        <f t="shared" si="54"/>
        <v>54</v>
      </c>
      <c r="J72" s="16">
        <f t="shared" si="54"/>
        <v>59</v>
      </c>
      <c r="K72" s="16">
        <f t="shared" si="54"/>
        <v>64</v>
      </c>
    </row>
    <row r="74" spans="1:12">
      <c r="C74" t="s">
        <v>57</v>
      </c>
      <c r="G74" s="12">
        <f>F60</f>
        <v>-210</v>
      </c>
      <c r="H74" s="12">
        <f>G76</f>
        <v>-230</v>
      </c>
      <c r="I74" s="12">
        <f t="shared" ref="I74:K74" si="55">H76</f>
        <v>-250</v>
      </c>
      <c r="J74" s="12">
        <f t="shared" si="55"/>
        <v>-270</v>
      </c>
      <c r="K74" s="12">
        <f t="shared" si="55"/>
        <v>-290</v>
      </c>
    </row>
    <row r="75" spans="1:12">
      <c r="C75" s="2" t="s">
        <v>58</v>
      </c>
      <c r="D75" s="2"/>
      <c r="E75" s="2"/>
      <c r="F75" s="2"/>
      <c r="G75" s="24">
        <v>-20</v>
      </c>
      <c r="H75" s="24">
        <v>-20</v>
      </c>
      <c r="I75" s="24">
        <v>-20</v>
      </c>
      <c r="J75" s="24">
        <v>-20</v>
      </c>
      <c r="K75" s="24">
        <v>-20</v>
      </c>
    </row>
    <row r="76" spans="1:12">
      <c r="C76" s="1" t="s">
        <v>59</v>
      </c>
      <c r="D76" s="1"/>
      <c r="E76" s="1"/>
      <c r="F76" s="1"/>
      <c r="G76" s="6">
        <f>SUM(G74:G75)</f>
        <v>-230</v>
      </c>
      <c r="H76" s="6">
        <f t="shared" ref="H76:K76" si="56">SUM(H74:H75)</f>
        <v>-250</v>
      </c>
      <c r="I76" s="6">
        <f t="shared" si="56"/>
        <v>-270</v>
      </c>
      <c r="J76" s="6">
        <f t="shared" si="56"/>
        <v>-290</v>
      </c>
      <c r="K76" s="6">
        <f t="shared" si="56"/>
        <v>-310</v>
      </c>
    </row>
    <row r="78" spans="1:12">
      <c r="C78" t="s">
        <v>60</v>
      </c>
      <c r="G78" s="12">
        <f>F62</f>
        <v>807</v>
      </c>
      <c r="H78" s="12">
        <f>G81</f>
        <v>860.55188491487365</v>
      </c>
      <c r="I78" s="12">
        <f>H81</f>
        <v>933.66087948017912</v>
      </c>
      <c r="J78" s="12">
        <f t="shared" ref="J78:K78" si="57">I81</f>
        <v>1028.1407057693764</v>
      </c>
      <c r="K78" s="12">
        <f t="shared" si="57"/>
        <v>1146.3664281906335</v>
      </c>
    </row>
    <row r="79" spans="1:12">
      <c r="C79" t="s">
        <v>61</v>
      </c>
      <c r="G79" s="12">
        <f>G17</f>
        <v>203.55188491487371</v>
      </c>
      <c r="H79" s="12">
        <f t="shared" ref="H79:K79" si="58">H17</f>
        <v>223.10899456530555</v>
      </c>
      <c r="I79" s="12">
        <f t="shared" si="58"/>
        <v>244.47982628919726</v>
      </c>
      <c r="J79" s="12">
        <f t="shared" si="58"/>
        <v>268.22572242125727</v>
      </c>
      <c r="K79" s="12">
        <f t="shared" si="58"/>
        <v>294.58049084183938</v>
      </c>
    </row>
    <row r="80" spans="1:12">
      <c r="C80" t="s">
        <v>62</v>
      </c>
      <c r="G80" s="24">
        <v>-150</v>
      </c>
      <c r="H80" s="24">
        <v>-150</v>
      </c>
      <c r="I80" s="24">
        <v>-150</v>
      </c>
      <c r="J80" s="24">
        <v>-150</v>
      </c>
      <c r="K80" s="24">
        <v>-150</v>
      </c>
    </row>
    <row r="81" spans="1:11">
      <c r="C81" s="7" t="s">
        <v>63</v>
      </c>
      <c r="D81" s="7"/>
      <c r="E81" s="7"/>
      <c r="F81" s="7"/>
      <c r="G81" s="8">
        <f>SUM(G78:G80)</f>
        <v>860.55188491487365</v>
      </c>
      <c r="H81" s="8">
        <f t="shared" ref="H81:K81" si="59">SUM(H78:H80)</f>
        <v>933.66087948017912</v>
      </c>
      <c r="I81" s="8">
        <f t="shared" si="59"/>
        <v>1028.1407057693764</v>
      </c>
      <c r="J81" s="8">
        <f t="shared" si="59"/>
        <v>1146.3664281906335</v>
      </c>
      <c r="K81" s="8">
        <f t="shared" si="59"/>
        <v>1290.946919032473</v>
      </c>
    </row>
    <row r="83" spans="1:11">
      <c r="A83" s="3" t="s">
        <v>3</v>
      </c>
      <c r="B83" t="s">
        <v>4</v>
      </c>
      <c r="C83" s="1" t="s">
        <v>64</v>
      </c>
    </row>
    <row r="85" spans="1:11">
      <c r="C85" t="s">
        <v>65</v>
      </c>
      <c r="G85" s="13">
        <f>G17</f>
        <v>203.55188491487371</v>
      </c>
      <c r="H85" s="13">
        <f t="shared" ref="H85:K85" si="60">H17</f>
        <v>223.10899456530555</v>
      </c>
      <c r="I85" s="13">
        <f t="shared" si="60"/>
        <v>244.47982628919726</v>
      </c>
      <c r="J85" s="13">
        <f t="shared" si="60"/>
        <v>268.22572242125727</v>
      </c>
      <c r="K85" s="13">
        <f t="shared" si="60"/>
        <v>294.58049084183938</v>
      </c>
    </row>
    <row r="86" spans="1:11">
      <c r="C86" t="s">
        <v>66</v>
      </c>
      <c r="G86" s="13">
        <f>-(G26+G29)</f>
        <v>53.677272727272729</v>
      </c>
      <c r="H86" s="13">
        <f t="shared" ref="H86:K86" si="61">-(H26+H29)</f>
        <v>58.801012396694219</v>
      </c>
      <c r="I86" s="13">
        <f t="shared" si="61"/>
        <v>64.413836307287752</v>
      </c>
      <c r="J86" s="13">
        <f t="shared" si="61"/>
        <v>70.562429772983407</v>
      </c>
      <c r="K86" s="13">
        <f t="shared" si="61"/>
        <v>77.297934433131815</v>
      </c>
    </row>
    <row r="87" spans="1:11">
      <c r="C87" t="s">
        <v>29</v>
      </c>
      <c r="G87" s="13">
        <f>F38-G38</f>
        <v>-14.699999999999989</v>
      </c>
      <c r="H87" s="13">
        <f t="shared" ref="H87:K87" si="62">G38-H38</f>
        <v>-16.10318181818181</v>
      </c>
      <c r="I87" s="13">
        <f t="shared" si="62"/>
        <v>-17.640303719008273</v>
      </c>
      <c r="J87" s="13">
        <f t="shared" si="62"/>
        <v>-19.324150892186339</v>
      </c>
      <c r="K87" s="13">
        <f t="shared" si="62"/>
        <v>-21.168728931895032</v>
      </c>
    </row>
    <row r="88" spans="1:11">
      <c r="C88" t="s">
        <v>30</v>
      </c>
      <c r="G88" s="12">
        <f>F39-G39</f>
        <v>-22.144321514262913</v>
      </c>
      <c r="H88" s="12">
        <f t="shared" ref="H88:K89" si="63">G39-H39</f>
        <v>-35.045594326361481</v>
      </c>
      <c r="I88" s="12">
        <f t="shared" si="63"/>
        <v>-38.390855602968713</v>
      </c>
      <c r="J88" s="12">
        <f t="shared" si="63"/>
        <v>-42.055437274161136</v>
      </c>
      <c r="K88" s="12">
        <f t="shared" si="63"/>
        <v>-46.06981992305839</v>
      </c>
    </row>
    <row r="89" spans="1:11">
      <c r="C89" t="s">
        <v>31</v>
      </c>
      <c r="G89" s="12">
        <f>F40-G40</f>
        <v>-4.2954545454545467</v>
      </c>
      <c r="H89" s="12">
        <f t="shared" si="63"/>
        <v>-4.7054752066115739</v>
      </c>
      <c r="I89" s="12">
        <f t="shared" si="63"/>
        <v>-5.1546342036063137</v>
      </c>
      <c r="J89" s="12">
        <f t="shared" si="63"/>
        <v>-5.6466674684960054</v>
      </c>
      <c r="K89" s="12">
        <f t="shared" si="63"/>
        <v>-6.1856675450342635</v>
      </c>
    </row>
    <row r="90" spans="1:11">
      <c r="C90" t="s">
        <v>37</v>
      </c>
      <c r="G90" s="13">
        <f>G49-F49</f>
        <v>3.1451355194170532</v>
      </c>
      <c r="H90" s="13">
        <f t="shared" ref="H90:K90" si="64">H49-G49</f>
        <v>4.9774902086716253</v>
      </c>
      <c r="I90" s="13">
        <f t="shared" si="64"/>
        <v>5.4526142740448265</v>
      </c>
      <c r="J90" s="13">
        <f t="shared" si="64"/>
        <v>5.9730910911127424</v>
      </c>
      <c r="K90" s="13">
        <f t="shared" si="64"/>
        <v>6.5432497861735044</v>
      </c>
    </row>
    <row r="91" spans="1:11">
      <c r="C91" t="s">
        <v>38</v>
      </c>
      <c r="G91" s="13">
        <f t="shared" ref="G91:K91" si="65">G50-F50</f>
        <v>4.4863636363636346</v>
      </c>
      <c r="H91" s="13">
        <f t="shared" si="65"/>
        <v>4.9146074380165317</v>
      </c>
      <c r="I91" s="13">
        <f t="shared" si="65"/>
        <v>5.3837290570999272</v>
      </c>
      <c r="J91" s="13">
        <f t="shared" si="65"/>
        <v>5.8976304670958228</v>
      </c>
      <c r="K91" s="13">
        <f t="shared" si="65"/>
        <v>6.4605861025913356</v>
      </c>
    </row>
    <row r="92" spans="1:11">
      <c r="C92" t="s">
        <v>39</v>
      </c>
      <c r="G92" s="13">
        <f t="shared" ref="G92:K92" si="66">G51-F51</f>
        <v>15.940909090909088</v>
      </c>
      <c r="H92" s="13">
        <f t="shared" si="66"/>
        <v>17.462541322314053</v>
      </c>
      <c r="I92" s="13">
        <f t="shared" si="66"/>
        <v>19.12942026671675</v>
      </c>
      <c r="J92" s="13">
        <f t="shared" si="66"/>
        <v>20.955410383085166</v>
      </c>
      <c r="K92" s="13">
        <f t="shared" si="66"/>
        <v>22.955699556016043</v>
      </c>
    </row>
    <row r="93" spans="1:11">
      <c r="C93" s="7" t="s">
        <v>67</v>
      </c>
      <c r="D93" s="7"/>
      <c r="E93" s="7"/>
      <c r="F93" s="7"/>
      <c r="G93" s="8">
        <f>SUM(G85:G92)</f>
        <v>239.66178982911879</v>
      </c>
      <c r="H93" s="8">
        <f t="shared" ref="H93:K93" si="67">SUM(H85:H92)</f>
        <v>253.41039457984712</v>
      </c>
      <c r="I93" s="8">
        <f t="shared" si="67"/>
        <v>277.67363266876322</v>
      </c>
      <c r="J93" s="8">
        <f t="shared" si="67"/>
        <v>304.588028500691</v>
      </c>
      <c r="K93" s="8">
        <f t="shared" si="67"/>
        <v>334.41374431976436</v>
      </c>
    </row>
    <row r="95" spans="1:11">
      <c r="C95" t="s">
        <v>68</v>
      </c>
      <c r="G95" s="13">
        <f>G27</f>
        <v>-73.395454545454541</v>
      </c>
      <c r="H95" s="13">
        <f t="shared" ref="H95:K95" si="68">H27</f>
        <v>-80.40138429752065</v>
      </c>
      <c r="I95" s="13">
        <f t="shared" si="68"/>
        <v>-88.076061889556712</v>
      </c>
      <c r="J95" s="13">
        <f t="shared" si="68"/>
        <v>-96.483322342650766</v>
      </c>
      <c r="K95" s="13">
        <f t="shared" si="68"/>
        <v>-105.69309402081288</v>
      </c>
    </row>
    <row r="96" spans="1:11">
      <c r="C96" t="s">
        <v>69</v>
      </c>
      <c r="G96" s="13">
        <f>G30</f>
        <v>-23.004545454545454</v>
      </c>
      <c r="H96" s="13">
        <f t="shared" ref="H96:K96" si="69">H30</f>
        <v>-25.200433884297521</v>
      </c>
      <c r="I96" s="13">
        <f t="shared" si="69"/>
        <v>-27.605929845980466</v>
      </c>
      <c r="J96" s="13">
        <f t="shared" si="69"/>
        <v>-30.241041331278602</v>
      </c>
      <c r="K96" s="13">
        <f t="shared" si="69"/>
        <v>-33.127686185627923</v>
      </c>
    </row>
    <row r="97" spans="3:11">
      <c r="C97" s="7" t="s">
        <v>70</v>
      </c>
      <c r="D97" s="7"/>
      <c r="E97" s="7"/>
      <c r="F97" s="7"/>
      <c r="G97" s="8">
        <f>SUM(G95:G96)</f>
        <v>-96.399999999999991</v>
      </c>
      <c r="H97" s="8">
        <f t="shared" ref="H97:K97" si="70">SUM(H95:H96)</f>
        <v>-105.60181818181817</v>
      </c>
      <c r="I97" s="8">
        <f t="shared" si="70"/>
        <v>-115.68199173553718</v>
      </c>
      <c r="J97" s="8">
        <f t="shared" si="70"/>
        <v>-126.72436367392936</v>
      </c>
      <c r="K97" s="8">
        <f t="shared" si="70"/>
        <v>-138.82078020644082</v>
      </c>
    </row>
    <row r="99" spans="3:11">
      <c r="C99" t="s">
        <v>42</v>
      </c>
      <c r="G99" s="13">
        <f>G55-F55</f>
        <v>0</v>
      </c>
      <c r="H99" s="13">
        <f t="shared" ref="H99:K99" si="71">H55-G55</f>
        <v>0</v>
      </c>
      <c r="I99" s="13">
        <f t="shared" si="71"/>
        <v>0</v>
      </c>
      <c r="J99" s="13">
        <f t="shared" si="71"/>
        <v>0</v>
      </c>
      <c r="K99" s="13">
        <f t="shared" si="71"/>
        <v>0</v>
      </c>
    </row>
    <row r="100" spans="3:11">
      <c r="C100" t="s">
        <v>41</v>
      </c>
      <c r="G100" s="19">
        <f>G54-F54</f>
        <v>-5</v>
      </c>
      <c r="H100" s="19">
        <f t="shared" ref="H100:K100" si="72">H54-G54</f>
        <v>0</v>
      </c>
      <c r="I100" s="19">
        <f t="shared" si="72"/>
        <v>0</v>
      </c>
      <c r="J100" s="19">
        <f t="shared" si="72"/>
        <v>0</v>
      </c>
      <c r="K100" s="19">
        <f t="shared" si="72"/>
        <v>0</v>
      </c>
    </row>
    <row r="101" spans="3:11">
      <c r="C101" t="s">
        <v>43</v>
      </c>
      <c r="G101" s="13">
        <f>G56-F56</f>
        <v>0</v>
      </c>
      <c r="H101" s="13">
        <f t="shared" ref="H101:K101" si="73">H56-G56</f>
        <v>0</v>
      </c>
      <c r="I101" s="13">
        <f t="shared" si="73"/>
        <v>0</v>
      </c>
      <c r="J101" s="13">
        <f t="shared" si="73"/>
        <v>0</v>
      </c>
      <c r="K101" s="13">
        <f t="shared" si="73"/>
        <v>0</v>
      </c>
    </row>
    <row r="102" spans="3:11">
      <c r="C102" t="s">
        <v>71</v>
      </c>
      <c r="G102" s="12">
        <f>G71</f>
        <v>5</v>
      </c>
      <c r="H102" s="12">
        <f t="shared" ref="H102:K102" si="74">H71</f>
        <v>5</v>
      </c>
      <c r="I102" s="12">
        <f t="shared" si="74"/>
        <v>5</v>
      </c>
      <c r="J102" s="12">
        <f t="shared" si="74"/>
        <v>5</v>
      </c>
      <c r="K102" s="12">
        <f t="shared" si="74"/>
        <v>5</v>
      </c>
    </row>
    <row r="103" spans="3:11">
      <c r="C103" t="s">
        <v>46</v>
      </c>
      <c r="G103" s="13">
        <f>G75</f>
        <v>-20</v>
      </c>
      <c r="H103" s="13">
        <f t="shared" ref="H103:K103" si="75">H75</f>
        <v>-20</v>
      </c>
      <c r="I103" s="13">
        <f t="shared" si="75"/>
        <v>-20</v>
      </c>
      <c r="J103" s="13">
        <f t="shared" si="75"/>
        <v>-20</v>
      </c>
      <c r="K103" s="13">
        <f t="shared" si="75"/>
        <v>-20</v>
      </c>
    </row>
    <row r="104" spans="3:11">
      <c r="C104" t="s">
        <v>47</v>
      </c>
      <c r="G104" s="13">
        <f>G61-F61</f>
        <v>0</v>
      </c>
      <c r="H104" s="13">
        <f>H61-G61</f>
        <v>0</v>
      </c>
      <c r="I104" s="13">
        <f>I61-H61</f>
        <v>0</v>
      </c>
      <c r="J104" s="13">
        <f>J61-I61</f>
        <v>0</v>
      </c>
      <c r="K104" s="13">
        <f>K61-J61</f>
        <v>0</v>
      </c>
    </row>
    <row r="105" spans="3:11">
      <c r="C105" t="s">
        <v>72</v>
      </c>
      <c r="G105" s="12">
        <f>G80</f>
        <v>-150</v>
      </c>
      <c r="H105" s="12">
        <f t="shared" ref="H105:K105" si="76">H80</f>
        <v>-150</v>
      </c>
      <c r="I105" s="12">
        <f t="shared" si="76"/>
        <v>-150</v>
      </c>
      <c r="J105" s="12">
        <f t="shared" si="76"/>
        <v>-150</v>
      </c>
      <c r="K105" s="12">
        <f t="shared" si="76"/>
        <v>-150</v>
      </c>
    </row>
    <row r="106" spans="3:11">
      <c r="C106" s="7" t="s">
        <v>73</v>
      </c>
      <c r="D106" s="7"/>
      <c r="E106" s="7"/>
      <c r="F106" s="7"/>
      <c r="G106" s="8">
        <f>SUM(G99:G105)</f>
        <v>-170</v>
      </c>
      <c r="H106" s="8">
        <f>SUM(H99:H105)</f>
        <v>-165</v>
      </c>
      <c r="I106" s="8">
        <f t="shared" ref="I106:K106" si="77">SUM(I99:I105)</f>
        <v>-165</v>
      </c>
      <c r="J106" s="8">
        <f t="shared" si="77"/>
        <v>-165</v>
      </c>
      <c r="K106" s="8">
        <f t="shared" si="77"/>
        <v>-165</v>
      </c>
    </row>
    <row r="108" spans="3:11">
      <c r="C108" s="7" t="s">
        <v>74</v>
      </c>
      <c r="D108" s="7"/>
      <c r="E108" s="7"/>
      <c r="F108" s="7"/>
      <c r="G108" s="8">
        <f>G93+G97+G106</f>
        <v>-26.738210170881189</v>
      </c>
      <c r="H108" s="8">
        <f>H93+H97+H106</f>
        <v>-17.191423601971053</v>
      </c>
      <c r="I108" s="8">
        <f>I93+I97+I106</f>
        <v>-3.0083590667739486</v>
      </c>
      <c r="J108" s="8">
        <f>J93+J97+J106</f>
        <v>12.863664826761635</v>
      </c>
      <c r="K108" s="8">
        <f>K93+K97+K106</f>
        <v>30.592964113323546</v>
      </c>
    </row>
    <row r="111" spans="3:11">
      <c r="C111" t="s">
        <v>75</v>
      </c>
      <c r="G111" s="13">
        <f>F37+G93+G97+SUM(G99,G101:G105)</f>
        <v>284.26178982911881</v>
      </c>
      <c r="H111" s="13">
        <f t="shared" ref="H111:K111" si="78">G37+H93+H97+SUM(H99,H101:H105)</f>
        <v>262.0703662271477</v>
      </c>
      <c r="I111" s="13">
        <f t="shared" si="78"/>
        <v>259.06200716037381</v>
      </c>
      <c r="J111" s="13">
        <f t="shared" si="78"/>
        <v>271.92567198713539</v>
      </c>
      <c r="K111" s="13">
        <f t="shared" si="78"/>
        <v>302.51863610045899</v>
      </c>
    </row>
    <row r="112" spans="3:11" s="1" customFormat="1">
      <c r="C112" s="1" t="s">
        <v>76</v>
      </c>
      <c r="G112" s="6">
        <f>-MIN(G111,F54)</f>
        <v>-5</v>
      </c>
      <c r="H112" s="6">
        <f t="shared" ref="H112:K112" si="79">-MIN(H111,G54)</f>
        <v>0</v>
      </c>
      <c r="I112" s="6">
        <f t="shared" si="79"/>
        <v>0</v>
      </c>
      <c r="J112" s="6">
        <f t="shared" si="79"/>
        <v>0</v>
      </c>
      <c r="K112" s="6">
        <f t="shared" si="79"/>
        <v>0</v>
      </c>
    </row>
  </sheetData>
  <mergeCells count="2">
    <mergeCell ref="G3:K3"/>
    <mergeCell ref="D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Yana Michel</cp:lastModifiedBy>
  <cp:revision/>
  <dcterms:created xsi:type="dcterms:W3CDTF">2025-11-06T04:16:59Z</dcterms:created>
  <dcterms:modified xsi:type="dcterms:W3CDTF">2026-01-01T23:16:41Z</dcterms:modified>
  <cp:category/>
  <cp:contentStatus/>
</cp:coreProperties>
</file>